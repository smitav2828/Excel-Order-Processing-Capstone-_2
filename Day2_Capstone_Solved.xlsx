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mita\"/>
    </mc:Choice>
  </mc:AlternateContent>
  <xr:revisionPtr revIDLastSave="0" documentId="13_ncr:1_{92F3AD96-62A1-4529-B726-7EAE26374223}" xr6:coauthVersionLast="47" xr6:coauthVersionMax="47" xr10:uidLastSave="{00000000-0000-0000-0000-000000000000}"/>
  <bookViews>
    <workbookView xWindow="-120" yWindow="-120" windowWidth="24240" windowHeight="13140" xr2:uid="{68DF9F7B-45CF-4967-BE17-96FA1CC8F3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1" l="1"/>
  <c r="H3" i="1" s="1"/>
  <c r="G4" i="1"/>
  <c r="H4" i="1" s="1"/>
  <c r="G5" i="1"/>
  <c r="H5" i="1" s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2" i="1"/>
  <c r="H2" i="1" s="1"/>
  <c r="F3" i="1"/>
  <c r="F4" i="1"/>
  <c r="F5" i="1"/>
  <c r="F6" i="1"/>
  <c r="F7" i="1"/>
  <c r="F8" i="1"/>
  <c r="F9" i="1"/>
  <c r="F10" i="1"/>
  <c r="F11" i="1"/>
  <c r="F12" i="1"/>
  <c r="F13" i="1"/>
  <c r="F2" i="1"/>
</calcChain>
</file>

<file path=xl/sharedStrings.xml><?xml version="1.0" encoding="utf-8"?>
<sst xmlns="http://schemas.openxmlformats.org/spreadsheetml/2006/main" count="56" uniqueCount="38">
  <si>
    <t>OrderID</t>
  </si>
  <si>
    <t>RegionCode</t>
  </si>
  <si>
    <t>Status</t>
  </si>
  <si>
    <t>ItemCount</t>
  </si>
  <si>
    <t>Priority</t>
  </si>
  <si>
    <t>ORD-101</t>
  </si>
  <si>
    <t>TX-4451</t>
  </si>
  <si>
    <t>PENDING</t>
  </si>
  <si>
    <t>High</t>
  </si>
  <si>
    <t>ORD-102</t>
  </si>
  <si>
    <t>NY-2201</t>
  </si>
  <si>
    <t>SHIPPED</t>
  </si>
  <si>
    <t>Medium</t>
  </si>
  <si>
    <t>ORD-103</t>
  </si>
  <si>
    <t>CA-9882</t>
  </si>
  <si>
    <t>Low</t>
  </si>
  <si>
    <t>ORD-104</t>
  </si>
  <si>
    <t>FL-3321</t>
  </si>
  <si>
    <t>ORD-105</t>
  </si>
  <si>
    <t>TX-4452</t>
  </si>
  <si>
    <t>CANCELLED</t>
  </si>
  <si>
    <t>ORD-106</t>
  </si>
  <si>
    <t>WA-1102</t>
  </si>
  <si>
    <t>ORD-107</t>
  </si>
  <si>
    <t>NY-2205</t>
  </si>
  <si>
    <t>ORD-108</t>
  </si>
  <si>
    <t>CA-9885</t>
  </si>
  <si>
    <t>ORD-109</t>
  </si>
  <si>
    <t>IL-6601</t>
  </si>
  <si>
    <t>ORD-110</t>
  </si>
  <si>
    <t>FL-3325</t>
  </si>
  <si>
    <t>ORD-111</t>
  </si>
  <si>
    <t>NV-7741</t>
  </si>
  <si>
    <t>ORD-112</t>
  </si>
  <si>
    <t>OH-5502</t>
  </si>
  <si>
    <t>State</t>
  </si>
  <si>
    <t>Urgent_Ship</t>
  </si>
  <si>
    <t>Warehouse_Note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</si>
</sst>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</cellXfs>
  <cellStyles count="1">
    <cellStyle name="Normal" xfId="0" builtinId="0"/>
  </cellStyles>
  <dxfs count="13"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635E58-AC43-489F-8433-20C421AFBEE4}" name="Table1" displayName="Table1" ref="A1:H13" totalsRowShown="0" headerRowDxfId="1" dataDxfId="0" headerRowBorderDxfId="11" tableBorderDxfId="12" totalsRowBorderDxfId="10">
  <autoFilter ref="A1:H13" xr:uid="{69635E58-AC43-489F-8433-20C421AFBEE4}"/>
  <tableColumns count="8">
    <tableColumn id="1" xr3:uid="{F8985C04-D64E-4F29-B064-9CCE6C2E2B99}" name="OrderID" dataDxfId="9"/>
    <tableColumn id="2" xr3:uid="{8A0137E5-6468-4EC6-AFAB-95E778C7A117}" name="RegionCode" dataDxfId="8"/>
    <tableColumn id="3" xr3:uid="{DEE85E03-CA27-41F2-9A87-843929155C09}" name="Status" dataDxfId="7"/>
    <tableColumn id="4" xr3:uid="{481C2C82-A7D2-408E-AECF-C9A0D6B45354}" name="ItemCount" dataDxfId="6"/>
    <tableColumn id="5" xr3:uid="{0C5AD8B4-4B9B-4554-99A8-7D8D8A543740}" name="Priority" dataDxfId="5"/>
    <tableColumn id="6" xr3:uid="{E42E933C-3571-4FAE-9975-9597B0CE5A58}" name="State" dataDxfId="4">
      <calculatedColumnFormula>LEFT(B2,2)</calculatedColumnFormula>
    </tableColumn>
    <tableColumn id="7" xr3:uid="{3C36833D-1CE1-4D30-ADB2-F2F0898DE55F}" name="Urgent_Ship" dataDxfId="3">
      <calculatedColumnFormula>IF(AND(D2&lt;5,C2="pending"),"SHIP NOW","HOLD")</calculatedColumnFormula>
    </tableColumn>
    <tableColumn id="8" xr3:uid="{0848E1E7-27D5-4BEE-9193-C422BC224CFE}" name="Warehouse_Note" dataDxfId="2">
      <calculatedColumnFormula>IF(G2="SHIP NOW",_xlfn.CONCAT(F2,"-","RUSH ORDER"),IF(G2="HOLD",_xlfn.CONCAT(F2,"-","wait")))</calculatedColumnFormula>
    </tableColumn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1904B-0506-4324-9DB1-207AE2F6BBE2}">
  <dimension ref="A1:J13"/>
  <sheetViews>
    <sheetView tabSelected="1" workbookViewId="0">
      <selection activeCell="J7" sqref="J7"/>
    </sheetView>
  </sheetViews>
  <sheetFormatPr defaultRowHeight="15" x14ac:dyDescent="0.25"/>
  <cols>
    <col min="1" max="1" width="10.140625" customWidth="1"/>
    <col min="2" max="2" width="13.85546875" customWidth="1"/>
    <col min="3" max="3" width="11" bestFit="1" customWidth="1"/>
    <col min="4" max="4" width="12.5703125" customWidth="1"/>
    <col min="5" max="5" width="9.7109375" customWidth="1"/>
    <col min="7" max="7" width="14.140625" customWidth="1"/>
    <col min="8" max="8" width="18.85546875" customWidth="1"/>
  </cols>
  <sheetData>
    <row r="1" spans="1:10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35</v>
      </c>
      <c r="G1" s="3" t="s">
        <v>36</v>
      </c>
      <c r="H1" s="4" t="s">
        <v>37</v>
      </c>
    </row>
    <row r="2" spans="1:10" x14ac:dyDescent="0.25">
      <c r="A2" s="5" t="s">
        <v>5</v>
      </c>
      <c r="B2" s="6" t="s">
        <v>6</v>
      </c>
      <c r="C2" s="6" t="s">
        <v>7</v>
      </c>
      <c r="D2" s="6">
        <v>3</v>
      </c>
      <c r="E2" s="6" t="s">
        <v>8</v>
      </c>
      <c r="F2" s="6" t="str">
        <f>LEFT(B2,2)</f>
        <v>TX</v>
      </c>
      <c r="G2" s="6" t="str">
        <f>IF(AND(D2&lt;5,C2="pending"),"SHIP NOW","HOLD")</f>
        <v>SHIP NOW</v>
      </c>
      <c r="H2" s="7" t="str">
        <f>IF(G2="SHIP NOW",_xlfn.CONCAT(F2,"-","RUSH ORDER"),IF(G2="HOLD",_xlfn.CONCAT(F2,"-","wait")))</f>
        <v>TX-RUSH ORDER</v>
      </c>
    </row>
    <row r="3" spans="1:10" x14ac:dyDescent="0.25">
      <c r="A3" s="5" t="s">
        <v>9</v>
      </c>
      <c r="B3" s="6" t="s">
        <v>10</v>
      </c>
      <c r="C3" s="6" t="s">
        <v>11</v>
      </c>
      <c r="D3" s="6">
        <v>12</v>
      </c>
      <c r="E3" s="6" t="s">
        <v>12</v>
      </c>
      <c r="F3" s="6" t="str">
        <f t="shared" ref="F3:F13" si="0">LEFT(B3,2)</f>
        <v>NY</v>
      </c>
      <c r="G3" s="6" t="str">
        <f t="shared" ref="G3:G13" si="1">IF(AND(D3&lt;5,C3="pending"),"SHIP NOW","HOLD")</f>
        <v>HOLD</v>
      </c>
      <c r="H3" s="7" t="str">
        <f t="shared" ref="H3:H13" si="2">IF(G3="SHIP NOW",_xlfn.CONCAT(F3,"-","RUSH ORDER"),IF(G3="HOLD",_xlfn.CONCAT(F3,"-","wait")))</f>
        <v>NY-wait</v>
      </c>
    </row>
    <row r="4" spans="1:10" x14ac:dyDescent="0.25">
      <c r="A4" s="5" t="s">
        <v>13</v>
      </c>
      <c r="B4" s="6" t="s">
        <v>14</v>
      </c>
      <c r="C4" s="6" t="s">
        <v>7</v>
      </c>
      <c r="D4" s="6">
        <v>8</v>
      </c>
      <c r="E4" s="6" t="s">
        <v>15</v>
      </c>
      <c r="F4" s="6" t="str">
        <f t="shared" si="0"/>
        <v>CA</v>
      </c>
      <c r="G4" s="6" t="str">
        <f t="shared" si="1"/>
        <v>HOLD</v>
      </c>
      <c r="H4" s="7" t="str">
        <f t="shared" si="2"/>
        <v>CA-wait</v>
      </c>
    </row>
    <row r="5" spans="1:10" x14ac:dyDescent="0.25">
      <c r="A5" s="5" t="s">
        <v>16</v>
      </c>
      <c r="B5" s="6" t="s">
        <v>17</v>
      </c>
      <c r="C5" s="6" t="s">
        <v>7</v>
      </c>
      <c r="D5" s="6">
        <v>2</v>
      </c>
      <c r="E5" s="6" t="s">
        <v>8</v>
      </c>
      <c r="F5" s="6" t="str">
        <f t="shared" si="0"/>
        <v>FL</v>
      </c>
      <c r="G5" s="6" t="str">
        <f t="shared" si="1"/>
        <v>SHIP NOW</v>
      </c>
      <c r="H5" s="7" t="str">
        <f t="shared" si="2"/>
        <v>FL-RUSH ORDER</v>
      </c>
    </row>
    <row r="6" spans="1:10" x14ac:dyDescent="0.25">
      <c r="A6" s="5" t="s">
        <v>18</v>
      </c>
      <c r="B6" s="6" t="s">
        <v>19</v>
      </c>
      <c r="C6" s="6" t="s">
        <v>20</v>
      </c>
      <c r="D6" s="6">
        <v>1</v>
      </c>
      <c r="E6" s="6" t="s">
        <v>15</v>
      </c>
      <c r="F6" s="6" t="str">
        <f t="shared" si="0"/>
        <v>TX</v>
      </c>
      <c r="G6" s="6" t="str">
        <f t="shared" si="1"/>
        <v>HOLD</v>
      </c>
      <c r="H6" s="7" t="str">
        <f t="shared" si="2"/>
        <v>TX-wait</v>
      </c>
      <c r="J6" s="1"/>
    </row>
    <row r="7" spans="1:10" x14ac:dyDescent="0.25">
      <c r="A7" s="5" t="s">
        <v>21</v>
      </c>
      <c r="B7" s="6" t="s">
        <v>22</v>
      </c>
      <c r="C7" s="6" t="s">
        <v>7</v>
      </c>
      <c r="D7" s="6">
        <v>4</v>
      </c>
      <c r="E7" s="6" t="s">
        <v>12</v>
      </c>
      <c r="F7" s="6" t="str">
        <f t="shared" si="0"/>
        <v>WA</v>
      </c>
      <c r="G7" s="6" t="str">
        <f t="shared" si="1"/>
        <v>SHIP NOW</v>
      </c>
      <c r="H7" s="7" t="str">
        <f t="shared" si="2"/>
        <v>WA-RUSH ORDER</v>
      </c>
    </row>
    <row r="8" spans="1:10" x14ac:dyDescent="0.25">
      <c r="A8" s="5" t="s">
        <v>23</v>
      </c>
      <c r="B8" s="6" t="s">
        <v>24</v>
      </c>
      <c r="C8" s="6" t="s">
        <v>7</v>
      </c>
      <c r="D8" s="6">
        <v>10</v>
      </c>
      <c r="E8" s="6" t="s">
        <v>8</v>
      </c>
      <c r="F8" s="6" t="str">
        <f t="shared" si="0"/>
        <v>NY</v>
      </c>
      <c r="G8" s="6" t="str">
        <f t="shared" si="1"/>
        <v>HOLD</v>
      </c>
      <c r="H8" s="7" t="str">
        <f t="shared" si="2"/>
        <v>NY-wait</v>
      </c>
    </row>
    <row r="9" spans="1:10" x14ac:dyDescent="0.25">
      <c r="A9" s="5" t="s">
        <v>25</v>
      </c>
      <c r="B9" s="6" t="s">
        <v>26</v>
      </c>
      <c r="C9" s="6" t="s">
        <v>11</v>
      </c>
      <c r="D9" s="6">
        <v>5</v>
      </c>
      <c r="E9" s="6" t="s">
        <v>12</v>
      </c>
      <c r="F9" s="6" t="str">
        <f t="shared" si="0"/>
        <v>CA</v>
      </c>
      <c r="G9" s="6" t="str">
        <f t="shared" si="1"/>
        <v>HOLD</v>
      </c>
      <c r="H9" s="7" t="str">
        <f t="shared" si="2"/>
        <v>CA-wait</v>
      </c>
    </row>
    <row r="10" spans="1:10" x14ac:dyDescent="0.25">
      <c r="A10" s="5" t="s">
        <v>27</v>
      </c>
      <c r="B10" s="6" t="s">
        <v>28</v>
      </c>
      <c r="C10" s="6" t="s">
        <v>7</v>
      </c>
      <c r="D10" s="6">
        <v>1</v>
      </c>
      <c r="E10" s="6" t="s">
        <v>8</v>
      </c>
      <c r="F10" s="6" t="str">
        <f t="shared" si="0"/>
        <v>IL</v>
      </c>
      <c r="G10" s="6" t="str">
        <f t="shared" si="1"/>
        <v>SHIP NOW</v>
      </c>
      <c r="H10" s="7" t="str">
        <f t="shared" si="2"/>
        <v>IL-RUSH ORDER</v>
      </c>
    </row>
    <row r="11" spans="1:10" x14ac:dyDescent="0.25">
      <c r="A11" s="5" t="s">
        <v>29</v>
      </c>
      <c r="B11" s="6" t="s">
        <v>30</v>
      </c>
      <c r="C11" s="6" t="s">
        <v>7</v>
      </c>
      <c r="D11" s="6">
        <v>6</v>
      </c>
      <c r="E11" s="6" t="s">
        <v>15</v>
      </c>
      <c r="F11" s="6" t="str">
        <f t="shared" si="0"/>
        <v>FL</v>
      </c>
      <c r="G11" s="6" t="str">
        <f t="shared" si="1"/>
        <v>HOLD</v>
      </c>
      <c r="H11" s="7" t="str">
        <f t="shared" si="2"/>
        <v>FL-wait</v>
      </c>
    </row>
    <row r="12" spans="1:10" x14ac:dyDescent="0.25">
      <c r="A12" s="5" t="s">
        <v>31</v>
      </c>
      <c r="B12" s="6" t="s">
        <v>32</v>
      </c>
      <c r="C12" s="6" t="s">
        <v>7</v>
      </c>
      <c r="D12" s="6">
        <v>15</v>
      </c>
      <c r="E12" s="6" t="s">
        <v>12</v>
      </c>
      <c r="F12" s="6" t="str">
        <f t="shared" si="0"/>
        <v>NV</v>
      </c>
      <c r="G12" s="6" t="str">
        <f t="shared" si="1"/>
        <v>HOLD</v>
      </c>
      <c r="H12" s="7" t="str">
        <f t="shared" si="2"/>
        <v>NV-wait</v>
      </c>
    </row>
    <row r="13" spans="1:10" x14ac:dyDescent="0.25">
      <c r="A13" s="8" t="s">
        <v>33</v>
      </c>
      <c r="B13" s="9" t="s">
        <v>34</v>
      </c>
      <c r="C13" s="9" t="s">
        <v>7</v>
      </c>
      <c r="D13" s="9">
        <v>3</v>
      </c>
      <c r="E13" s="9" t="s">
        <v>8</v>
      </c>
      <c r="F13" s="9" t="str">
        <f t="shared" si="0"/>
        <v>OH</v>
      </c>
      <c r="G13" s="9" t="str">
        <f t="shared" si="1"/>
        <v>SHIP NOW</v>
      </c>
      <c r="H13" s="10" t="str">
        <f t="shared" si="2"/>
        <v>OH-RUSH ORDER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Anudip1</dc:creator>
  <cp:lastModifiedBy>Admin</cp:lastModifiedBy>
  <dcterms:created xsi:type="dcterms:W3CDTF">2025-11-29T11:21:04Z</dcterms:created>
  <dcterms:modified xsi:type="dcterms:W3CDTF">2025-12-14T13:27:49Z</dcterms:modified>
</cp:coreProperties>
</file>